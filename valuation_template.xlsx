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Google Drive\PSX Trading\Research &amp; Workings\Valuation Model App\Streamlit app\Stock_valuation_engine\"/>
    </mc:Choice>
  </mc:AlternateContent>
  <xr:revisionPtr revIDLastSave="0" documentId="13_ncr:1_{B1D615FA-0158-45C5-9736-E8BF24AEBD9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ompany" sheetId="5" r:id="rId1"/>
    <sheet name="Financial_data" sheetId="1" r:id="rId2"/>
    <sheet name="Market_data" sheetId="2" r:id="rId3"/>
    <sheet name="Industry_data" sheetId="3" r:id="rId4"/>
    <sheet name="Valuation_weights" sheetId="4" r:id="rId5"/>
    <sheet name="Instruc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6" l="1"/>
  <c r="C18" i="6"/>
  <c r="D18" i="6"/>
  <c r="B19" i="6"/>
  <c r="C19" i="6"/>
  <c r="D19" i="6"/>
  <c r="B4" i="2"/>
  <c r="H2" i="1"/>
  <c r="H3" i="1"/>
  <c r="H4" i="1"/>
  <c r="H5" i="1"/>
  <c r="H6" i="1"/>
</calcChain>
</file>

<file path=xl/sharedStrings.xml><?xml version="1.0" encoding="utf-8"?>
<sst xmlns="http://schemas.openxmlformats.org/spreadsheetml/2006/main" count="60" uniqueCount="51">
  <si>
    <t>Year</t>
  </si>
  <si>
    <t>Revenue</t>
  </si>
  <si>
    <t>EBIT</t>
  </si>
  <si>
    <t>Depreciation</t>
  </si>
  <si>
    <t>Company Name</t>
  </si>
  <si>
    <t>Ticker Symbol</t>
  </si>
  <si>
    <t>FFC</t>
  </si>
  <si>
    <t>Fauji Fertilizer Company</t>
  </si>
  <si>
    <t>Variable</t>
  </si>
  <si>
    <t>Value</t>
  </si>
  <si>
    <t>Current Market Price</t>
  </si>
  <si>
    <t>Risk Free Rate</t>
  </si>
  <si>
    <t>Market ERP</t>
  </si>
  <si>
    <t>Beta</t>
  </si>
  <si>
    <t>Cost of Debt</t>
  </si>
  <si>
    <t>Company</t>
  </si>
  <si>
    <t>PE</t>
  </si>
  <si>
    <t>PS</t>
  </si>
  <si>
    <t>EV/EBITDA</t>
  </si>
  <si>
    <t>FATIMA</t>
  </si>
  <si>
    <t>EFERT</t>
  </si>
  <si>
    <t>AGL</t>
  </si>
  <si>
    <t>Industry Average</t>
  </si>
  <si>
    <t>Industry Median</t>
  </si>
  <si>
    <t>Tax Rate (Effective)</t>
  </si>
  <si>
    <t>Forecast years</t>
  </si>
  <si>
    <t>Terminal growth</t>
  </si>
  <si>
    <t>DCF</t>
  </si>
  <si>
    <t>Net_Income</t>
  </si>
  <si>
    <t>Shares_Outstanding</t>
  </si>
  <si>
    <t>Investing_Cash_Flow</t>
  </si>
  <si>
    <t>Debt</t>
  </si>
  <si>
    <t>Cash</t>
  </si>
  <si>
    <t>EV_EBITDA</t>
  </si>
  <si>
    <t>Working_Capital</t>
  </si>
  <si>
    <t>Method</t>
  </si>
  <si>
    <t>Weight</t>
  </si>
  <si>
    <t>All financial data and shares outstanding number should be in millions.</t>
  </si>
  <si>
    <t>Strictly follow the template format. Use % where values are in percentage.</t>
  </si>
  <si>
    <t>Industry_average</t>
  </si>
  <si>
    <t>Workings Table</t>
  </si>
  <si>
    <t>Change values in shaded area only</t>
  </si>
  <si>
    <t>Change values in shaded area only.</t>
  </si>
  <si>
    <t>Weights need not to be changed. Keep them as they are. However, if you prefer some other weightage you can change.</t>
  </si>
  <si>
    <t>Financial_data Sheet</t>
  </si>
  <si>
    <t>Market_data Sheet</t>
  </si>
  <si>
    <t>Industry_data Sheet</t>
  </si>
  <si>
    <t>Valuation_weights Sheet</t>
  </si>
  <si>
    <t>Important Instructions</t>
  </si>
  <si>
    <t>Only change data in grey shaded cells. DO NOT ADD EVEN A SINGLE DOT IN ANY OTHER CELL OTHERWISE THE VALUATION APP WON'T WORK.</t>
  </si>
  <si>
    <r>
      <t xml:space="preserve">Table below is for your own working. Calculate industry average in table below and then enter the averages in shaded are on </t>
    </r>
    <r>
      <rPr>
        <b/>
        <i/>
        <sz val="11"/>
        <color theme="1"/>
        <rFont val="Calibri"/>
        <family val="2"/>
        <scheme val="minor"/>
      </rPr>
      <t>Industry_data</t>
    </r>
    <r>
      <rPr>
        <i/>
        <sz val="11"/>
        <color theme="1"/>
        <rFont val="Calibri"/>
        <family val="2"/>
        <scheme val="minor"/>
      </rPr>
      <t xml:space="preserve"> 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</si>
</sst>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center"/>
    </xf>
    <xf numFmtId="10" fontId="0" fillId="3" borderId="0" xfId="0" applyNumberFormat="1" applyFill="1" applyAlignment="1">
      <alignment vertical="center"/>
    </xf>
    <xf numFmtId="10" fontId="0" fillId="3" borderId="0" xfId="2" applyNumberFormat="1" applyFont="1" applyFill="1" applyAlignment="1">
      <alignment vertical="center"/>
    </xf>
    <xf numFmtId="9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164" fontId="0" fillId="3" borderId="0" xfId="1" applyNumberFormat="1" applyFont="1" applyFill="1" applyAlignment="1">
      <alignment vertical="center"/>
    </xf>
    <xf numFmtId="164" fontId="0" fillId="3" borderId="0" xfId="1" applyNumberFormat="1" applyFont="1" applyFill="1"/>
    <xf numFmtId="9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4" fillId="5" borderId="0" xfId="0" applyFont="1" applyFill="1"/>
    <xf numFmtId="0" fontId="5" fillId="5" borderId="0" xfId="0" applyFont="1" applyFill="1"/>
    <xf numFmtId="0" fontId="6" fillId="0" borderId="0" xfId="0" applyFont="1" applyFill="1"/>
    <xf numFmtId="0" fontId="7" fillId="0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A18DF-FEA5-4178-91FE-E9DC33D725E7}" name="Table1" displayName="Table1" ref="A13:D19" totalsRowShown="0" headerRowDxfId="0">
  <autoFilter ref="A13:D19" xr:uid="{7CBA18DF-FEA5-4178-91FE-E9DC33D725E7}"/>
  <tableColumns count="4">
    <tableColumn id="1" xr3:uid="{F7ADD530-9148-4CB0-A47B-D28FF6D6E1D6}" name="Company"/>
    <tableColumn id="2" xr3:uid="{383949F3-A88D-45E0-A75E-EF44C787C5F5}" name="PE"/>
    <tableColumn id="3" xr3:uid="{E3F2AC04-1465-45DA-80BB-08A4D5B34B44}" name="PS"/>
    <tableColumn id="4" xr3:uid="{847330C7-95EF-4A3E-A5A6-5DED440534C1}" name="EV_EBIT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47F6-A840-4D9E-AB9F-113647418FEC}">
  <dimension ref="A1:B2"/>
  <sheetViews>
    <sheetView workbookViewId="0">
      <selection activeCell="A7" sqref="A7"/>
    </sheetView>
  </sheetViews>
  <sheetFormatPr defaultRowHeight="14.5" x14ac:dyDescent="0.35"/>
  <cols>
    <col min="1" max="1" width="20.90625" bestFit="1" customWidth="1"/>
    <col min="2" max="2" width="12.36328125" bestFit="1" customWidth="1"/>
  </cols>
  <sheetData>
    <row r="1" spans="1:2" x14ac:dyDescent="0.35">
      <c r="A1" s="3" t="s">
        <v>4</v>
      </c>
      <c r="B1" s="3" t="s">
        <v>5</v>
      </c>
    </row>
    <row r="2" spans="1:2" x14ac:dyDescent="0.35">
      <c r="A2" s="7" t="s">
        <v>7</v>
      </c>
      <c r="B2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B17" sqref="B17"/>
    </sheetView>
  </sheetViews>
  <sheetFormatPr defaultRowHeight="14.5" x14ac:dyDescent="0.35"/>
  <cols>
    <col min="1" max="1" width="20.90625" bestFit="1" customWidth="1"/>
    <col min="2" max="2" width="13.36328125" customWidth="1"/>
    <col min="3" max="3" width="11.90625" customWidth="1"/>
    <col min="4" max="4" width="12.36328125" customWidth="1"/>
    <col min="5" max="5" width="11.54296875" bestFit="1" customWidth="1"/>
    <col min="6" max="6" width="18.453125" bestFit="1" customWidth="1"/>
    <col min="7" max="7" width="14.26953125" bestFit="1" customWidth="1"/>
    <col min="8" max="8" width="16.1796875" bestFit="1" customWidth="1"/>
    <col min="9" max="9" width="17" bestFit="1" customWidth="1"/>
    <col min="10" max="10" width="17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30</v>
      </c>
      <c r="G1" s="1" t="s">
        <v>34</v>
      </c>
      <c r="H1" s="1" t="s">
        <v>31</v>
      </c>
      <c r="I1" s="1" t="s">
        <v>32</v>
      </c>
      <c r="J1" s="1" t="s">
        <v>29</v>
      </c>
    </row>
    <row r="2" spans="1:10" x14ac:dyDescent="0.35">
      <c r="A2" s="8">
        <v>2021</v>
      </c>
      <c r="B2" s="13">
        <v>114345</v>
      </c>
      <c r="C2" s="13">
        <v>52646</v>
      </c>
      <c r="D2" s="14">
        <v>39865</v>
      </c>
      <c r="E2" s="13">
        <v>3769.4</v>
      </c>
      <c r="F2" s="13">
        <v>12706.3</v>
      </c>
      <c r="G2" s="14">
        <v>25647</v>
      </c>
      <c r="H2" s="13">
        <f>19172+6954+38999</f>
        <v>65125</v>
      </c>
      <c r="I2" s="14">
        <v>133250</v>
      </c>
      <c r="J2" s="8">
        <v>1272.2</v>
      </c>
    </row>
    <row r="3" spans="1:10" x14ac:dyDescent="0.35">
      <c r="A3" s="8">
        <v>2022</v>
      </c>
      <c r="B3" s="13">
        <v>125678</v>
      </c>
      <c r="C3" s="13">
        <v>56559</v>
      </c>
      <c r="D3" s="14">
        <v>34370</v>
      </c>
      <c r="E3" s="13">
        <v>5050</v>
      </c>
      <c r="F3" s="13">
        <v>-3299.6</v>
      </c>
      <c r="G3" s="14">
        <v>9688</v>
      </c>
      <c r="H3" s="13">
        <f>17821+6703+58813</f>
        <v>83337</v>
      </c>
      <c r="I3" s="14">
        <v>134732</v>
      </c>
      <c r="J3" s="8">
        <v>1272.2</v>
      </c>
    </row>
    <row r="4" spans="1:10" x14ac:dyDescent="0.35">
      <c r="A4" s="8">
        <v>2023</v>
      </c>
      <c r="B4" s="13">
        <v>181382</v>
      </c>
      <c r="C4" s="13">
        <v>81114</v>
      </c>
      <c r="D4" s="14">
        <v>47452</v>
      </c>
      <c r="E4" s="13">
        <v>5325</v>
      </c>
      <c r="F4" s="13">
        <v>11898.7</v>
      </c>
      <c r="G4" s="14">
        <v>12053</v>
      </c>
      <c r="H4" s="13">
        <f>19565+6544+15133</f>
        <v>41242</v>
      </c>
      <c r="I4" s="14">
        <v>186207</v>
      </c>
      <c r="J4" s="8">
        <v>1272.2</v>
      </c>
    </row>
    <row r="5" spans="1:10" x14ac:dyDescent="0.35">
      <c r="A5" s="8">
        <v>2024</v>
      </c>
      <c r="B5" s="13">
        <v>411254</v>
      </c>
      <c r="C5" s="13">
        <v>150792</v>
      </c>
      <c r="D5" s="14">
        <v>85525</v>
      </c>
      <c r="E5" s="13">
        <v>7470.4</v>
      </c>
      <c r="F5" s="13">
        <v>14986</v>
      </c>
      <c r="G5" s="14">
        <v>66467</v>
      </c>
      <c r="H5" s="13">
        <f>32491+7418+38341</f>
        <v>78250</v>
      </c>
      <c r="I5" s="14">
        <v>324679</v>
      </c>
      <c r="J5" s="8">
        <v>1423.1</v>
      </c>
    </row>
    <row r="6" spans="1:10" x14ac:dyDescent="0.35">
      <c r="A6" s="8">
        <v>2025</v>
      </c>
      <c r="B6" s="13">
        <v>483808</v>
      </c>
      <c r="C6" s="13">
        <v>143417</v>
      </c>
      <c r="D6" s="14">
        <v>84946</v>
      </c>
      <c r="E6" s="13">
        <v>10073</v>
      </c>
      <c r="F6" s="13">
        <v>13193</v>
      </c>
      <c r="G6" s="14">
        <v>69962</v>
      </c>
      <c r="H6" s="13">
        <f>50818+11637+22010</f>
        <v>84465</v>
      </c>
      <c r="I6" s="14">
        <v>337214</v>
      </c>
      <c r="J6" s="8">
        <v>1423.1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6AB6-8FF8-473C-A65F-856D363841DA}">
  <dimension ref="A1:B9"/>
  <sheetViews>
    <sheetView workbookViewId="0">
      <selection activeCell="F12" sqref="F12"/>
    </sheetView>
  </sheetViews>
  <sheetFormatPr defaultRowHeight="14.5" x14ac:dyDescent="0.35"/>
  <cols>
    <col min="1" max="1" width="18.26953125" bestFit="1" customWidth="1"/>
    <col min="2" max="2" width="7.81640625" bestFit="1" customWidth="1"/>
    <col min="8" max="8" width="10.81640625" bestFit="1" customWidth="1"/>
  </cols>
  <sheetData>
    <row r="1" spans="1:2" x14ac:dyDescent="0.35">
      <c r="A1" s="1" t="s">
        <v>8</v>
      </c>
      <c r="B1" s="1" t="s">
        <v>9</v>
      </c>
    </row>
    <row r="2" spans="1:2" x14ac:dyDescent="0.35">
      <c r="A2" s="2" t="s">
        <v>10</v>
      </c>
      <c r="B2" s="8">
        <v>560.74</v>
      </c>
    </row>
    <row r="3" spans="1:2" x14ac:dyDescent="0.35">
      <c r="A3" s="2" t="s">
        <v>11</v>
      </c>
      <c r="B3" s="9">
        <v>0.115</v>
      </c>
    </row>
    <row r="4" spans="1:2" x14ac:dyDescent="0.35">
      <c r="A4" s="2" t="s">
        <v>12</v>
      </c>
      <c r="B4" s="10">
        <f>18.16%-B3</f>
        <v>6.6600000000000006E-2</v>
      </c>
    </row>
    <row r="5" spans="1:2" x14ac:dyDescent="0.35">
      <c r="A5" s="2" t="s">
        <v>13</v>
      </c>
      <c r="B5" s="8">
        <v>0.93</v>
      </c>
    </row>
    <row r="6" spans="1:2" x14ac:dyDescent="0.35">
      <c r="A6" s="2" t="s">
        <v>14</v>
      </c>
      <c r="B6" s="11">
        <v>0.16</v>
      </c>
    </row>
    <row r="7" spans="1:2" x14ac:dyDescent="0.35">
      <c r="A7" s="2" t="s">
        <v>24</v>
      </c>
      <c r="B7" s="11">
        <v>0.37</v>
      </c>
    </row>
    <row r="8" spans="1:2" x14ac:dyDescent="0.35">
      <c r="A8" s="2" t="s">
        <v>25</v>
      </c>
      <c r="B8" s="12">
        <v>5</v>
      </c>
    </row>
    <row r="9" spans="1:2" x14ac:dyDescent="0.35">
      <c r="A9" s="2" t="s">
        <v>26</v>
      </c>
      <c r="B9" s="11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A49D-2B4C-4BEF-B22E-2AAA53064336}">
  <dimension ref="A1:D2"/>
  <sheetViews>
    <sheetView workbookViewId="0">
      <selection activeCell="B2" sqref="B2"/>
    </sheetView>
  </sheetViews>
  <sheetFormatPr defaultRowHeight="14.5" x14ac:dyDescent="0.35"/>
  <cols>
    <col min="1" max="1" width="15.08984375" bestFit="1" customWidth="1"/>
    <col min="2" max="3" width="5.81640625" bestFit="1" customWidth="1"/>
    <col min="4" max="4" width="12.08984375" customWidth="1"/>
  </cols>
  <sheetData>
    <row r="1" spans="1:4" x14ac:dyDescent="0.35">
      <c r="A1" s="3" t="s">
        <v>8</v>
      </c>
      <c r="B1" s="3" t="s">
        <v>16</v>
      </c>
      <c r="C1" s="3" t="s">
        <v>17</v>
      </c>
      <c r="D1" s="3" t="s">
        <v>33</v>
      </c>
    </row>
    <row r="2" spans="1:4" x14ac:dyDescent="0.35">
      <c r="A2" t="s">
        <v>39</v>
      </c>
      <c r="B2" s="7">
        <v>12.14</v>
      </c>
      <c r="C2" s="7">
        <v>1.54</v>
      </c>
      <c r="D2" s="7">
        <v>6.54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807D-ABD3-484E-9E1A-C55BFECA3A1B}">
  <dimension ref="A1:B5"/>
  <sheetViews>
    <sheetView workbookViewId="0">
      <selection activeCell="E3" sqref="E3"/>
    </sheetView>
  </sheetViews>
  <sheetFormatPr defaultRowHeight="14.5" x14ac:dyDescent="0.35"/>
  <cols>
    <col min="1" max="1" width="16.26953125" bestFit="1" customWidth="1"/>
    <col min="2" max="2" width="6.81640625" bestFit="1" customWidth="1"/>
  </cols>
  <sheetData>
    <row r="1" spans="1:2" x14ac:dyDescent="0.35">
      <c r="A1" s="3" t="s">
        <v>35</v>
      </c>
      <c r="B1" s="3" t="s">
        <v>36</v>
      </c>
    </row>
    <row r="2" spans="1:2" x14ac:dyDescent="0.35">
      <c r="A2" t="s">
        <v>27</v>
      </c>
      <c r="B2" s="15">
        <v>0.5</v>
      </c>
    </row>
    <row r="3" spans="1:2" x14ac:dyDescent="0.35">
      <c r="A3" t="s">
        <v>16</v>
      </c>
      <c r="B3" s="15">
        <v>0.2</v>
      </c>
    </row>
    <row r="4" spans="1:2" x14ac:dyDescent="0.35">
      <c r="A4" t="s">
        <v>17</v>
      </c>
      <c r="B4" s="15">
        <v>0.1</v>
      </c>
    </row>
    <row r="5" spans="1:2" x14ac:dyDescent="0.35">
      <c r="A5" t="s">
        <v>18</v>
      </c>
      <c r="B5" s="15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B5B0-D47C-461E-BE39-109AD36F42DF}">
  <dimension ref="A1:D22"/>
  <sheetViews>
    <sheetView tabSelected="1" workbookViewId="0">
      <selection activeCell="H11" sqref="H11"/>
    </sheetView>
  </sheetViews>
  <sheetFormatPr defaultRowHeight="14.5" x14ac:dyDescent="0.35"/>
  <cols>
    <col min="1" max="1" width="17.36328125" customWidth="1"/>
    <col min="4" max="4" width="12.36328125" bestFit="1" customWidth="1"/>
  </cols>
  <sheetData>
    <row r="1" spans="1:4" x14ac:dyDescent="0.35">
      <c r="A1" s="18" t="s">
        <v>48</v>
      </c>
      <c r="B1" s="19"/>
    </row>
    <row r="2" spans="1:4" x14ac:dyDescent="0.35">
      <c r="A2" s="21" t="s">
        <v>49</v>
      </c>
      <c r="B2" s="20"/>
    </row>
    <row r="3" spans="1:4" x14ac:dyDescent="0.35">
      <c r="A3" s="16" t="s">
        <v>44</v>
      </c>
      <c r="B3" s="17"/>
    </row>
    <row r="4" spans="1:4" x14ac:dyDescent="0.35">
      <c r="A4" s="5" t="s">
        <v>37</v>
      </c>
    </row>
    <row r="5" spans="1:4" x14ac:dyDescent="0.35">
      <c r="A5" s="5" t="s">
        <v>41</v>
      </c>
    </row>
    <row r="6" spans="1:4" x14ac:dyDescent="0.35">
      <c r="A6" s="16" t="s">
        <v>45</v>
      </c>
      <c r="B6" s="17"/>
    </row>
    <row r="7" spans="1:4" x14ac:dyDescent="0.35">
      <c r="A7" s="5" t="s">
        <v>38</v>
      </c>
    </row>
    <row r="8" spans="1:4" x14ac:dyDescent="0.35">
      <c r="A8" s="5" t="s">
        <v>42</v>
      </c>
    </row>
    <row r="9" spans="1:4" x14ac:dyDescent="0.35">
      <c r="A9" s="16" t="s">
        <v>46</v>
      </c>
      <c r="B9" s="17"/>
    </row>
    <row r="10" spans="1:4" x14ac:dyDescent="0.35">
      <c r="A10" s="5" t="s">
        <v>50</v>
      </c>
    </row>
    <row r="11" spans="1:4" x14ac:dyDescent="0.35">
      <c r="A11" s="5" t="s">
        <v>42</v>
      </c>
    </row>
    <row r="12" spans="1:4" x14ac:dyDescent="0.35">
      <c r="A12" s="3" t="s">
        <v>40</v>
      </c>
    </row>
    <row r="13" spans="1:4" x14ac:dyDescent="0.35">
      <c r="A13" s="4" t="s">
        <v>15</v>
      </c>
      <c r="B13" s="3" t="s">
        <v>16</v>
      </c>
      <c r="C13" s="3" t="s">
        <v>17</v>
      </c>
      <c r="D13" s="3" t="s">
        <v>33</v>
      </c>
    </row>
    <row r="14" spans="1:4" x14ac:dyDescent="0.35">
      <c r="A14" s="6" t="s">
        <v>6</v>
      </c>
      <c r="B14" s="6">
        <v>10.29</v>
      </c>
      <c r="C14" s="6">
        <v>1.72</v>
      </c>
      <c r="D14" s="6">
        <v>7.23</v>
      </c>
    </row>
    <row r="15" spans="1:4" x14ac:dyDescent="0.35">
      <c r="A15" s="6" t="s">
        <v>19</v>
      </c>
      <c r="B15" s="6">
        <v>12.53</v>
      </c>
      <c r="C15" s="6">
        <v>2.19</v>
      </c>
      <c r="D15" s="6">
        <v>5.86</v>
      </c>
    </row>
    <row r="16" spans="1:4" x14ac:dyDescent="0.35">
      <c r="A16" s="6" t="s">
        <v>20</v>
      </c>
      <c r="B16" s="6">
        <v>11.75</v>
      </c>
      <c r="C16" s="6">
        <v>1.37</v>
      </c>
      <c r="D16" s="6">
        <v>5.84</v>
      </c>
    </row>
    <row r="17" spans="1:4" x14ac:dyDescent="0.35">
      <c r="A17" s="6" t="s">
        <v>21</v>
      </c>
      <c r="B17" s="6">
        <v>13.79</v>
      </c>
      <c r="C17" s="6">
        <v>0.82</v>
      </c>
      <c r="D17" s="6">
        <v>14.05</v>
      </c>
    </row>
    <row r="18" spans="1:4" x14ac:dyDescent="0.35">
      <c r="A18" s="3" t="s">
        <v>22</v>
      </c>
      <c r="B18" s="3">
        <f>AVERAGE(B14:B17)</f>
        <v>12.09</v>
      </c>
      <c r="C18" s="3">
        <f>AVERAGE(C14:C17)</f>
        <v>1.5250000000000001</v>
      </c>
      <c r="D18" s="3">
        <f>AVERAGE(D14:D17)</f>
        <v>8.245000000000001</v>
      </c>
    </row>
    <row r="19" spans="1:4" x14ac:dyDescent="0.35">
      <c r="A19" s="3" t="s">
        <v>23</v>
      </c>
      <c r="B19" s="3">
        <f>MEDIAN(B14:B17)</f>
        <v>12.14</v>
      </c>
      <c r="C19" s="3">
        <f>MEDIAN(C14:C17)</f>
        <v>1.5449999999999999</v>
      </c>
      <c r="D19" s="3">
        <f>MEDIAN(D14:D17)</f>
        <v>6.5449999999999999</v>
      </c>
    </row>
    <row r="20" spans="1:4" x14ac:dyDescent="0.35">
      <c r="A20" s="16" t="s">
        <v>47</v>
      </c>
      <c r="B20" s="17"/>
    </row>
    <row r="21" spans="1:4" x14ac:dyDescent="0.35">
      <c r="A21" s="5" t="s">
        <v>42</v>
      </c>
    </row>
    <row r="22" spans="1:4" x14ac:dyDescent="0.35">
      <c r="A22" s="5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</vt:lpstr>
      <vt:lpstr>Financial_data</vt:lpstr>
      <vt:lpstr>Market_data</vt:lpstr>
      <vt:lpstr>Industry_data</vt:lpstr>
      <vt:lpstr>Valuation_weights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Aqeel</dc:creator>
  <cp:lastModifiedBy>hp</cp:lastModifiedBy>
  <dcterms:created xsi:type="dcterms:W3CDTF">2015-06-05T18:17:20Z</dcterms:created>
  <dcterms:modified xsi:type="dcterms:W3CDTF">2026-06-20T17:46:26Z</dcterms:modified>
</cp:coreProperties>
</file>